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dierLIRON\Desktop\cours_M1_IEF\"/>
    </mc:Choice>
  </mc:AlternateContent>
  <xr:revisionPtr revIDLastSave="0" documentId="13_ncr:1_{F7BF00A0-2C64-42E3-AE3F-65B9C250E5AE}" xr6:coauthVersionLast="47" xr6:coauthVersionMax="47" xr10:uidLastSave="{00000000-0000-0000-0000-000000000000}"/>
  <bookViews>
    <workbookView xWindow="-90" yWindow="-90" windowWidth="19380" windowHeight="11580" activeTab="1" xr2:uid="{A1677770-CE7D-41B9-9979-BCD9B85B54EA}"/>
  </bookViews>
  <sheets>
    <sheet name="Feuil1" sheetId="1" r:id="rId1"/>
    <sheet name="Feuil2" sheetId="2" r:id="rId2"/>
  </sheets>
  <definedNames>
    <definedName name="_tacdl_6b177438d071" localSheetId="0" hidden="1">Feuil1!$A$2:$B$22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2" i="2" l="1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6" i="2"/>
  <c r="A1" i="1"/>
</calcChain>
</file>

<file path=xl/sharedStrings.xml><?xml version="1.0" encoding="utf-8"?>
<sst xmlns="http://schemas.openxmlformats.org/spreadsheetml/2006/main" count="21" uniqueCount="11">
  <si>
    <t>Name</t>
  </si>
  <si>
    <t>Brent crude oil spot price</t>
  </si>
  <si>
    <t>Country code</t>
  </si>
  <si>
    <t>WLD</t>
  </si>
  <si>
    <t>code</t>
  </si>
  <si>
    <t>EIA/BREPUUS/WLD</t>
  </si>
  <si>
    <t>brent</t>
  </si>
  <si>
    <t>brent_lag1</t>
  </si>
  <si>
    <t>growth_brent</t>
  </si>
  <si>
    <t>brent_ma5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</si>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</sst>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yyyy\-mm\-dd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0" applyNumberFormat="1"/>
    <xf numFmtId="14" fontId="0" fillId="0" borderId="0" xfId="0" applyNumberFormat="1"/>
    <xf numFmtId="43" fontId="0" fillId="0" borderId="0" xfId="1" applyFont="1"/>
    <xf numFmtId="9" fontId="0" fillId="0" borderId="0" xfId="2" applyFont="1"/>
    <xf numFmtId="43" fontId="0" fillId="0" borderId="0" xfId="0" applyNumberFormat="1"/>
  </cellXfs>
  <cellStyles count="3"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Feuil2!$A$5:$A$22</c:f>
              <c:numCache>
                <c:formatCode>m/d/yyyy</c:formatCode>
                <c:ptCount val="18"/>
                <c:pt idx="0">
                  <c:v>40179</c:v>
                </c:pt>
                <c:pt idx="1">
                  <c:v>40544</c:v>
                </c:pt>
                <c:pt idx="2">
                  <c:v>40909</c:v>
                </c:pt>
                <c:pt idx="3">
                  <c:v>41275</c:v>
                </c:pt>
                <c:pt idx="4">
                  <c:v>41640</c:v>
                </c:pt>
                <c:pt idx="5">
                  <c:v>42005</c:v>
                </c:pt>
                <c:pt idx="6">
                  <c:v>42370</c:v>
                </c:pt>
                <c:pt idx="7">
                  <c:v>42736</c:v>
                </c:pt>
                <c:pt idx="8">
                  <c:v>43101</c:v>
                </c:pt>
                <c:pt idx="9">
                  <c:v>43466</c:v>
                </c:pt>
                <c:pt idx="10">
                  <c:v>43831</c:v>
                </c:pt>
                <c:pt idx="11">
                  <c:v>44197</c:v>
                </c:pt>
                <c:pt idx="12">
                  <c:v>44562</c:v>
                </c:pt>
                <c:pt idx="13">
                  <c:v>44927</c:v>
                </c:pt>
                <c:pt idx="14">
                  <c:v>45292</c:v>
                </c:pt>
                <c:pt idx="15">
                  <c:v>45658</c:v>
                </c:pt>
                <c:pt idx="16">
                  <c:v>46023</c:v>
                </c:pt>
                <c:pt idx="17">
                  <c:v>46388</c:v>
                </c:pt>
              </c:numCache>
            </c:numRef>
          </c:cat>
          <c:val>
            <c:numRef>
              <c:f>Feuil2!$B$5:$B$22</c:f>
              <c:numCache>
                <c:formatCode>_(* #,##0.00_);_(* \(#,##0.00\);_(* "-"??_);_(@_)</c:formatCode>
                <c:ptCount val="18"/>
                <c:pt idx="0">
                  <c:v>79.509833333333333</c:v>
                </c:pt>
                <c:pt idx="1">
                  <c:v>111.26508333333334</c:v>
                </c:pt>
                <c:pt idx="2">
                  <c:v>111.65058333333333</c:v>
                </c:pt>
                <c:pt idx="3">
                  <c:v>108.63733333333333</c:v>
                </c:pt>
                <c:pt idx="4">
                  <c:v>99.021166666666659</c:v>
                </c:pt>
                <c:pt idx="5">
                  <c:v>52.351666666666667</c:v>
                </c:pt>
                <c:pt idx="6">
                  <c:v>43.54933333333333</c:v>
                </c:pt>
                <c:pt idx="7">
                  <c:v>54.247583333333331</c:v>
                </c:pt>
                <c:pt idx="8">
                  <c:v>71.059416666666664</c:v>
                </c:pt>
                <c:pt idx="9">
                  <c:v>64.358750000000001</c:v>
                </c:pt>
                <c:pt idx="10">
                  <c:v>41.759166666666665</c:v>
                </c:pt>
                <c:pt idx="11">
                  <c:v>70.677499999999995</c:v>
                </c:pt>
                <c:pt idx="12">
                  <c:v>100.77749999999999</c:v>
                </c:pt>
                <c:pt idx="13">
                  <c:v>82.468333333333334</c:v>
                </c:pt>
                <c:pt idx="14">
                  <c:v>80.526666666666657</c:v>
                </c:pt>
                <c:pt idx="15">
                  <c:v>69.103333333333339</c:v>
                </c:pt>
                <c:pt idx="16">
                  <c:v>90.857500000000002</c:v>
                </c:pt>
                <c:pt idx="17">
                  <c:v>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8B-4042-89F9-CECFBF848E5A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Feuil2!$A$5:$A$22</c:f>
              <c:numCache>
                <c:formatCode>m/d/yyyy</c:formatCode>
                <c:ptCount val="18"/>
                <c:pt idx="0">
                  <c:v>40179</c:v>
                </c:pt>
                <c:pt idx="1">
                  <c:v>40544</c:v>
                </c:pt>
                <c:pt idx="2">
                  <c:v>40909</c:v>
                </c:pt>
                <c:pt idx="3">
                  <c:v>41275</c:v>
                </c:pt>
                <c:pt idx="4">
                  <c:v>41640</c:v>
                </c:pt>
                <c:pt idx="5">
                  <c:v>42005</c:v>
                </c:pt>
                <c:pt idx="6">
                  <c:v>42370</c:v>
                </c:pt>
                <c:pt idx="7">
                  <c:v>42736</c:v>
                </c:pt>
                <c:pt idx="8">
                  <c:v>43101</c:v>
                </c:pt>
                <c:pt idx="9">
                  <c:v>43466</c:v>
                </c:pt>
                <c:pt idx="10">
                  <c:v>43831</c:v>
                </c:pt>
                <c:pt idx="11">
                  <c:v>44197</c:v>
                </c:pt>
                <c:pt idx="12">
                  <c:v>44562</c:v>
                </c:pt>
                <c:pt idx="13">
                  <c:v>44927</c:v>
                </c:pt>
                <c:pt idx="14">
                  <c:v>45292</c:v>
                </c:pt>
                <c:pt idx="15">
                  <c:v>45658</c:v>
                </c:pt>
                <c:pt idx="16">
                  <c:v>46023</c:v>
                </c:pt>
                <c:pt idx="17">
                  <c:v>46388</c:v>
                </c:pt>
              </c:numCache>
            </c:numRef>
          </c:cat>
          <c:val>
            <c:numRef>
              <c:f>Feuil2!$E$5:$E$22</c:f>
              <c:numCache>
                <c:formatCode>General</c:formatCode>
                <c:ptCount val="18"/>
                <c:pt idx="4" formatCode="_(* #,##0.00_);_(* \(#,##0.00\);_(* &quot;-&quot;??_);_(@_)">
                  <c:v>102.0168</c:v>
                </c:pt>
                <c:pt idx="5" formatCode="_(* #,##0.00_);_(* \(#,##0.00\);_(* &quot;-&quot;??_);_(@_)">
                  <c:v>96.585166666666666</c:v>
                </c:pt>
                <c:pt idx="6" formatCode="_(* #,##0.00_);_(* \(#,##0.00\);_(* &quot;-&quot;??_);_(@_)">
                  <c:v>83.042016666666669</c:v>
                </c:pt>
                <c:pt idx="7" formatCode="_(* #,##0.00_);_(* \(#,##0.00\);_(* &quot;-&quot;??_);_(@_)">
                  <c:v>71.561416666666673</c:v>
                </c:pt>
                <c:pt idx="8" formatCode="_(* #,##0.00_);_(* \(#,##0.00\);_(* &quot;-&quot;??_);_(@_)">
                  <c:v>64.04583333333332</c:v>
                </c:pt>
                <c:pt idx="9" formatCode="_(* #,##0.00_);_(* \(#,##0.00\);_(* &quot;-&quot;??_);_(@_)">
                  <c:v>57.113350000000004</c:v>
                </c:pt>
                <c:pt idx="10" formatCode="_(* #,##0.00_);_(* \(#,##0.00\);_(* &quot;-&quot;??_);_(@_)">
                  <c:v>54.99485</c:v>
                </c:pt>
                <c:pt idx="11" formatCode="_(* #,##0.00_);_(* \(#,##0.00\);_(* &quot;-&quot;??_);_(@_)">
                  <c:v>60.420483333333337</c:v>
                </c:pt>
                <c:pt idx="12" formatCode="_(* #,##0.00_);_(* \(#,##0.00\);_(* &quot;-&quot;??_);_(@_)">
                  <c:v>69.726466666666653</c:v>
                </c:pt>
                <c:pt idx="13" formatCode="_(* #,##0.00_);_(* \(#,##0.00\);_(* &quot;-&quot;??_);_(@_)">
                  <c:v>72.008250000000004</c:v>
                </c:pt>
                <c:pt idx="14" formatCode="_(* #,##0.00_);_(* \(#,##0.00\);_(* &quot;-&quot;??_);_(@_)">
                  <c:v>75.241833333333332</c:v>
                </c:pt>
                <c:pt idx="15" formatCode="_(* #,##0.00_);_(* \(#,##0.00\);_(* &quot;-&quot;??_);_(@_)">
                  <c:v>80.710666666666668</c:v>
                </c:pt>
                <c:pt idx="16" formatCode="_(* #,##0.00_);_(* \(#,##0.00\);_(* &quot;-&quot;??_);_(@_)">
                  <c:v>84.74666666666667</c:v>
                </c:pt>
                <c:pt idx="17" formatCode="_(* #,##0.00_);_(* \(#,##0.00\);_(* &quot;-&quot;??_);_(@_)">
                  <c:v>79.391166666666678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8B-4042-89F9-CECFBF848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7696592"/>
        <c:axId val="498112704"/>
      </c:lineChart>
      <c:dateAx>
        <c:axId val="44769659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8112704"/>
        <c:crosses val="autoZero"/>
        <c:auto val="1"/>
        <c:lblOffset val="100"/>
        <c:baseTimeUnit val="years"/>
      </c:dateAx>
      <c:valAx>
        <c:axId val="49811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4769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582612</xdr:colOff>
      <xdr:row>3</xdr:row>
      <xdr:rowOff>60325</xdr:rowOff>
    </xdr:from>
    <xdr:to>
      <xdr:col>14</xdr:col>
      <xdr:colOff>44450</xdr:colOff>
      <xdr:row>22</xdr:row>
      <xdr:rowOff>152400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38D97239-9AE6-4CD2-1355-8639200CC3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39028-8845-41C7-8DF7-ACD325F6728B}">
  <dimension ref="A1:B22"/>
  <sheetViews>
    <sheetView workbookViewId="0">
      <selection activeCell="A4" sqref="A4:B22"/>
    </sheetView>
  </sheetViews>
  <sheetFormatPr baseColWidth="10" defaultRowHeight="14.75" x14ac:dyDescent="0.75"/>
  <sheetData>
    <row r="1" spans="1:2" x14ac:dyDescent="0.75">
      <c r="A1" t="str">
        <f>_xll.datalab("EIA/BREPUUS/WLD","2010-01-01","","A","addName=true,addDesc=false,addUnit=false,addProv=false,transpose=false,addcntCode=true,addcntName=false","mean")</f>
        <v>=@datalab("EIA/BREPUUS/WLD","2010-01-01","","A","addName=true,addDesc=false,addUnit=false,addProv=false,transpose=false,addcntCode=true,addcntName=false","mean")</v>
      </c>
    </row>
    <row r="2" spans="1:2" x14ac:dyDescent="0.75">
      <c r="A2" t="s">
        <v>0</v>
      </c>
      <c r="B2" t="s">
        <v>1</v>
      </c>
    </row>
    <row r="3" spans="1:2" x14ac:dyDescent="0.75">
      <c r="A3" t="s">
        <v>2</v>
      </c>
      <c r="B3" t="s">
        <v>3</v>
      </c>
    </row>
    <row r="4" spans="1:2" x14ac:dyDescent="0.75">
      <c r="A4" t="s">
        <v>4</v>
      </c>
      <c r="B4" t="s">
        <v>5</v>
      </c>
    </row>
    <row r="5" spans="1:2" x14ac:dyDescent="0.75">
      <c r="A5" s="1">
        <v>40179</v>
      </c>
      <c r="B5">
        <v>79.509833333333333</v>
      </c>
    </row>
    <row r="6" spans="1:2" x14ac:dyDescent="0.75">
      <c r="A6" s="1">
        <v>40544</v>
      </c>
      <c r="B6">
        <v>111.26508333333334</v>
      </c>
    </row>
    <row r="7" spans="1:2" x14ac:dyDescent="0.75">
      <c r="A7" s="1">
        <v>40909</v>
      </c>
      <c r="B7">
        <v>111.65058333333333</v>
      </c>
    </row>
    <row r="8" spans="1:2" x14ac:dyDescent="0.75">
      <c r="A8" s="1">
        <v>41275</v>
      </c>
      <c r="B8">
        <v>108.63733333333333</v>
      </c>
    </row>
    <row r="9" spans="1:2" x14ac:dyDescent="0.75">
      <c r="A9" s="1">
        <v>41640</v>
      </c>
      <c r="B9">
        <v>99.021166666666659</v>
      </c>
    </row>
    <row r="10" spans="1:2" x14ac:dyDescent="0.75">
      <c r="A10" s="1">
        <v>42005</v>
      </c>
      <c r="B10">
        <v>52.351666666666667</v>
      </c>
    </row>
    <row r="11" spans="1:2" x14ac:dyDescent="0.75">
      <c r="A11" s="1">
        <v>42370</v>
      </c>
      <c r="B11">
        <v>43.54933333333333</v>
      </c>
    </row>
    <row r="12" spans="1:2" x14ac:dyDescent="0.75">
      <c r="A12" s="1">
        <v>42736</v>
      </c>
      <c r="B12">
        <v>54.247583333333331</v>
      </c>
    </row>
    <row r="13" spans="1:2" x14ac:dyDescent="0.75">
      <c r="A13" s="1">
        <v>43101</v>
      </c>
      <c r="B13">
        <v>71.059416666666664</v>
      </c>
    </row>
    <row r="14" spans="1:2" x14ac:dyDescent="0.75">
      <c r="A14" s="1">
        <v>43466</v>
      </c>
      <c r="B14">
        <v>64.358750000000001</v>
      </c>
    </row>
    <row r="15" spans="1:2" x14ac:dyDescent="0.75">
      <c r="A15" s="1">
        <v>43831</v>
      </c>
      <c r="B15">
        <v>41.759166666666665</v>
      </c>
    </row>
    <row r="16" spans="1:2" x14ac:dyDescent="0.75">
      <c r="A16" s="1">
        <v>44197</v>
      </c>
      <c r="B16">
        <v>70.677499999999995</v>
      </c>
    </row>
    <row r="17" spans="1:2" x14ac:dyDescent="0.75">
      <c r="A17" s="1">
        <v>44562</v>
      </c>
      <c r="B17">
        <v>100.77749999999999</v>
      </c>
    </row>
    <row r="18" spans="1:2" x14ac:dyDescent="0.75">
      <c r="A18" s="1">
        <v>44927</v>
      </c>
      <c r="B18">
        <v>82.468333333333334</v>
      </c>
    </row>
    <row r="19" spans="1:2" x14ac:dyDescent="0.75">
      <c r="A19" s="1">
        <v>45292</v>
      </c>
      <c r="B19">
        <v>80.526666666666657</v>
      </c>
    </row>
    <row r="20" spans="1:2" x14ac:dyDescent="0.75">
      <c r="A20" s="1">
        <v>45658</v>
      </c>
      <c r="B20">
        <v>69.103333333333339</v>
      </c>
    </row>
    <row r="21" spans="1:2" x14ac:dyDescent="0.75">
      <c r="A21" s="1">
        <v>46023</v>
      </c>
      <c r="B21">
        <v>90.857500000000002</v>
      </c>
    </row>
    <row r="22" spans="1:2" x14ac:dyDescent="0.75">
      <c r="A22" s="1">
        <v>46388</v>
      </c>
      <c r="B22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BE845-2DC8-48FE-A56F-4AD8E6DA27B7}">
  <dimension ref="A1:AF57"/>
  <sheetViews>
    <sheetView tabSelected="1" workbookViewId="0">
      <pane xSplit="1" ySplit="1" topLeftCell="E27" activePane="bottomRight" state="frozen"/>
      <selection pane="topRight" activeCell="B1" sqref="B1"/>
      <selection pane="bottomLeft" activeCell="A2" sqref="A2"/>
      <selection pane="bottomRight" activeCell="L43" sqref="L43"/>
    </sheetView>
  </sheetViews>
  <sheetFormatPr baseColWidth="10" defaultRowHeight="14.75" x14ac:dyDescent="0.75"/>
  <sheetData>
    <row r="1" spans="1:5" x14ac:dyDescent="0.75">
      <c r="A1" t="s">
        <v>10</v>
      </c>
      <c r="B1" t="s">
        <v>6</v>
      </c>
      <c r="C1" t="s">
        <v>7</v>
      </c>
      <c r="D1" t="s">
        <v>8</v>
      </c>
      <c r="E1" t="s">
        <v>9</v>
      </c>
    </row>
    <row r="2" spans="1:5" x14ac:dyDescent="0.75">
      <c r="A2" s="2">
        <v>39083</v>
      </c>
    </row>
    <row r="3" spans="1:5" x14ac:dyDescent="0.75">
      <c r="A3" s="2">
        <v>39448</v>
      </c>
    </row>
    <row r="4" spans="1:5" x14ac:dyDescent="0.75">
      <c r="A4" s="2">
        <v>39814</v>
      </c>
    </row>
    <row r="5" spans="1:5" x14ac:dyDescent="0.75">
      <c r="A5" s="2">
        <v>40179</v>
      </c>
      <c r="B5" s="3">
        <v>79.509833333333333</v>
      </c>
    </row>
    <row r="6" spans="1:5" x14ac:dyDescent="0.75">
      <c r="A6" s="2">
        <v>40544</v>
      </c>
      <c r="B6" s="3">
        <v>111.26508333333334</v>
      </c>
      <c r="C6" s="3">
        <v>79.509833333333333</v>
      </c>
      <c r="D6" s="4">
        <f>B6/C6-1</f>
        <v>0.3993877067616376</v>
      </c>
    </row>
    <row r="7" spans="1:5" x14ac:dyDescent="0.75">
      <c r="A7" s="2">
        <v>40909</v>
      </c>
      <c r="B7" s="3">
        <v>111.65058333333333</v>
      </c>
      <c r="C7" s="3">
        <v>111.26508333333334</v>
      </c>
      <c r="D7" s="4">
        <f t="shared" ref="D7:D26" si="0">B7/C7-1</f>
        <v>3.4646987936466367E-3</v>
      </c>
    </row>
    <row r="8" spans="1:5" x14ac:dyDescent="0.75">
      <c r="A8" s="2">
        <v>41275</v>
      </c>
      <c r="B8" s="3">
        <v>108.63733333333333</v>
      </c>
      <c r="C8" s="3">
        <v>111.65058333333333</v>
      </c>
      <c r="D8" s="4">
        <f t="shared" si="0"/>
        <v>-2.6988215466854593E-2</v>
      </c>
    </row>
    <row r="9" spans="1:5" x14ac:dyDescent="0.75">
      <c r="A9" s="2">
        <v>41640</v>
      </c>
      <c r="B9" s="3">
        <v>99.021166666666659</v>
      </c>
      <c r="C9" s="3">
        <v>108.63733333333333</v>
      </c>
      <c r="D9" s="4">
        <f t="shared" si="0"/>
        <v>-8.851622523871483E-2</v>
      </c>
      <c r="E9" s="5">
        <f>AVERAGE(B5:B9)</f>
        <v>102.0168</v>
      </c>
    </row>
    <row r="10" spans="1:5" x14ac:dyDescent="0.75">
      <c r="A10" s="2">
        <v>42005</v>
      </c>
      <c r="B10" s="3">
        <v>52.351666666666667</v>
      </c>
      <c r="C10" s="3">
        <v>99.021166666666659</v>
      </c>
      <c r="D10" s="4">
        <f t="shared" si="0"/>
        <v>-0.47130832296798497</v>
      </c>
      <c r="E10" s="5">
        <f t="shared" ref="E10:E22" si="1">AVERAGE(B6:B10)</f>
        <v>96.585166666666666</v>
      </c>
    </row>
    <row r="11" spans="1:5" x14ac:dyDescent="0.75">
      <c r="A11" s="2">
        <v>42370</v>
      </c>
      <c r="B11" s="3">
        <v>43.54933333333333</v>
      </c>
      <c r="C11" s="3">
        <v>52.351666666666667</v>
      </c>
      <c r="D11" s="4">
        <f t="shared" si="0"/>
        <v>-0.16813855018942414</v>
      </c>
      <c r="E11" s="5">
        <f t="shared" si="1"/>
        <v>83.042016666666669</v>
      </c>
    </row>
    <row r="12" spans="1:5" x14ac:dyDescent="0.75">
      <c r="A12" s="2">
        <v>42736</v>
      </c>
      <c r="B12" s="3">
        <v>54.247583333333331</v>
      </c>
      <c r="C12" s="3">
        <v>43.54933333333333</v>
      </c>
      <c r="D12" s="4">
        <f t="shared" si="0"/>
        <v>0.24565818076051693</v>
      </c>
      <c r="E12" s="5">
        <f t="shared" si="1"/>
        <v>71.561416666666673</v>
      </c>
    </row>
    <row r="13" spans="1:5" x14ac:dyDescent="0.75">
      <c r="A13" s="2">
        <v>43101</v>
      </c>
      <c r="B13" s="3">
        <v>71.059416666666664</v>
      </c>
      <c r="C13" s="3">
        <v>54.247583333333331</v>
      </c>
      <c r="D13" s="4">
        <f t="shared" si="0"/>
        <v>0.30990935080057325</v>
      </c>
      <c r="E13" s="5">
        <f t="shared" si="1"/>
        <v>64.04583333333332</v>
      </c>
    </row>
    <row r="14" spans="1:5" x14ac:dyDescent="0.75">
      <c r="A14" s="2">
        <v>43466</v>
      </c>
      <c r="B14" s="3">
        <v>64.358750000000001</v>
      </c>
      <c r="C14" s="3">
        <v>71.059416666666664</v>
      </c>
      <c r="D14" s="4">
        <f t="shared" si="0"/>
        <v>-9.429667426203181E-2</v>
      </c>
      <c r="E14" s="5">
        <f t="shared" si="1"/>
        <v>57.113350000000004</v>
      </c>
    </row>
    <row r="15" spans="1:5" x14ac:dyDescent="0.75">
      <c r="A15" s="2">
        <v>43831</v>
      </c>
      <c r="B15" s="3">
        <v>41.759166666666665</v>
      </c>
      <c r="C15" s="3">
        <v>64.358750000000001</v>
      </c>
      <c r="D15" s="4">
        <f t="shared" si="0"/>
        <v>-0.35115012851140415</v>
      </c>
      <c r="E15" s="5">
        <f t="shared" si="1"/>
        <v>54.99485</v>
      </c>
    </row>
    <row r="16" spans="1:5" x14ac:dyDescent="0.75">
      <c r="A16" s="2">
        <v>44197</v>
      </c>
      <c r="B16" s="3">
        <v>70.677499999999995</v>
      </c>
      <c r="C16" s="3">
        <v>41.759166666666665</v>
      </c>
      <c r="D16" s="4">
        <f t="shared" si="0"/>
        <v>0.69250264413003126</v>
      </c>
      <c r="E16" s="5">
        <f t="shared" si="1"/>
        <v>60.420483333333337</v>
      </c>
    </row>
    <row r="17" spans="1:32" x14ac:dyDescent="0.75">
      <c r="A17" s="2">
        <v>44562</v>
      </c>
      <c r="B17" s="3">
        <v>100.77749999999999</v>
      </c>
      <c r="C17" s="3">
        <v>70.677499999999995</v>
      </c>
      <c r="D17" s="4">
        <f t="shared" si="0"/>
        <v>0.42587810830886763</v>
      </c>
      <c r="E17" s="5">
        <f t="shared" si="1"/>
        <v>69.726466666666653</v>
      </c>
    </row>
    <row r="18" spans="1:32" x14ac:dyDescent="0.75">
      <c r="A18" s="2">
        <v>44927</v>
      </c>
      <c r="B18" s="3">
        <v>82.468333333333334</v>
      </c>
      <c r="C18" s="3">
        <v>100.77749999999999</v>
      </c>
      <c r="D18" s="4">
        <f t="shared" si="0"/>
        <v>-0.18167911157417738</v>
      </c>
      <c r="E18" s="5">
        <f t="shared" si="1"/>
        <v>72.008250000000004</v>
      </c>
    </row>
    <row r="19" spans="1:32" x14ac:dyDescent="0.75">
      <c r="A19" s="2">
        <v>45292</v>
      </c>
      <c r="B19" s="3">
        <v>80.526666666666657</v>
      </c>
      <c r="C19" s="3">
        <v>82.468333333333334</v>
      </c>
      <c r="D19" s="4">
        <f t="shared" si="0"/>
        <v>-2.3544390776257695E-2</v>
      </c>
      <c r="E19" s="5">
        <f t="shared" si="1"/>
        <v>75.241833333333332</v>
      </c>
    </row>
    <row r="20" spans="1:32" x14ac:dyDescent="0.75">
      <c r="A20" s="2">
        <v>45658</v>
      </c>
      <c r="B20" s="3">
        <v>69.103333333333339</v>
      </c>
      <c r="C20" s="3">
        <v>80.526666666666657</v>
      </c>
      <c r="D20" s="4">
        <f t="shared" si="0"/>
        <v>-0.14185776968292063</v>
      </c>
      <c r="E20" s="5">
        <f t="shared" si="1"/>
        <v>80.710666666666668</v>
      </c>
    </row>
    <row r="21" spans="1:32" x14ac:dyDescent="0.75">
      <c r="A21" s="2">
        <v>46023</v>
      </c>
      <c r="B21" s="3">
        <v>90.857500000000002</v>
      </c>
      <c r="C21" s="3">
        <v>69.103333333333339</v>
      </c>
      <c r="D21" s="4">
        <f t="shared" si="0"/>
        <v>0.31480632868650815</v>
      </c>
      <c r="E21" s="5">
        <f t="shared" si="1"/>
        <v>84.74666666666667</v>
      </c>
    </row>
    <row r="22" spans="1:32" x14ac:dyDescent="0.75">
      <c r="A22" s="2">
        <v>46388</v>
      </c>
      <c r="B22" s="3">
        <v>74</v>
      </c>
      <c r="C22" s="3">
        <v>90.857500000000002</v>
      </c>
      <c r="D22" s="4">
        <f t="shared" si="0"/>
        <v>-0.18553779269735582</v>
      </c>
      <c r="E22" s="5">
        <f t="shared" si="1"/>
        <v>79.391166666666678</v>
      </c>
    </row>
    <row r="23" spans="1:32" x14ac:dyDescent="0.75">
      <c r="A23" s="2">
        <v>46753</v>
      </c>
      <c r="C23" s="3">
        <v>74</v>
      </c>
    </row>
    <row r="24" spans="1:32" x14ac:dyDescent="0.75">
      <c r="A24" s="2">
        <v>47119</v>
      </c>
    </row>
    <row r="25" spans="1:32" x14ac:dyDescent="0.75">
      <c r="A25" s="2">
        <v>47484</v>
      </c>
    </row>
    <row r="26" spans="1:32" x14ac:dyDescent="0.75">
      <c r="A26" s="2">
        <v>47849</v>
      </c>
    </row>
    <row r="32" spans="1:32" x14ac:dyDescent="0.75">
      <c r="A32" t="s">
        <v>4</v>
      </c>
      <c r="B32" t="s">
        <v>6</v>
      </c>
      <c r="C32" t="s">
        <v>7</v>
      </c>
      <c r="D32" t="s">
        <v>8</v>
      </c>
      <c r="E32" t="s">
        <v>9</v>
      </c>
      <c r="G32" t="s">
        <v>4</v>
      </c>
      <c r="H32" s="2">
        <v>39083</v>
      </c>
      <c r="I32" s="2">
        <v>39448</v>
      </c>
      <c r="J32" s="2">
        <v>39814</v>
      </c>
      <c r="K32" s="2">
        <v>40179</v>
      </c>
      <c r="L32" s="2">
        <v>40544</v>
      </c>
      <c r="M32" s="2">
        <v>40909</v>
      </c>
      <c r="N32" s="2">
        <v>41275</v>
      </c>
      <c r="O32" s="2">
        <v>41640</v>
      </c>
      <c r="P32" s="2">
        <v>42005</v>
      </c>
      <c r="Q32" s="2">
        <v>42370</v>
      </c>
      <c r="R32" s="2">
        <v>42736</v>
      </c>
      <c r="S32" s="2">
        <v>43101</v>
      </c>
      <c r="T32" s="2">
        <v>43466</v>
      </c>
      <c r="U32" s="2">
        <v>43831</v>
      </c>
      <c r="V32" s="2">
        <v>44197</v>
      </c>
      <c r="W32" s="2">
        <v>44562</v>
      </c>
      <c r="X32" s="2">
        <v>44927</v>
      </c>
      <c r="Y32" s="2">
        <v>45292</v>
      </c>
      <c r="Z32" s="2">
        <v>45658</v>
      </c>
      <c r="AA32" s="2">
        <v>46023</v>
      </c>
      <c r="AB32" s="2">
        <v>46388</v>
      </c>
      <c r="AC32" s="2">
        <v>46753</v>
      </c>
      <c r="AD32" s="2">
        <v>47119</v>
      </c>
      <c r="AE32" s="2">
        <v>47484</v>
      </c>
      <c r="AF32" s="2">
        <v>47849</v>
      </c>
    </row>
    <row r="33" spans="1:29" x14ac:dyDescent="0.75">
      <c r="A33" s="2">
        <v>39083</v>
      </c>
      <c r="G33" t="s">
        <v>6</v>
      </c>
      <c r="K33">
        <v>79.509833333333333</v>
      </c>
      <c r="L33">
        <v>111.26508333333334</v>
      </c>
      <c r="M33">
        <v>111.65058333333333</v>
      </c>
      <c r="N33">
        <v>108.63733333333333</v>
      </c>
      <c r="O33">
        <v>99.021166666666659</v>
      </c>
      <c r="P33">
        <v>52.351666666666667</v>
      </c>
      <c r="Q33">
        <v>43.54933333333333</v>
      </c>
      <c r="R33">
        <v>54.247583333333331</v>
      </c>
      <c r="S33">
        <v>71.059416666666664</v>
      </c>
      <c r="T33">
        <v>64.358750000000001</v>
      </c>
      <c r="U33">
        <v>41.759166666666665</v>
      </c>
      <c r="V33">
        <v>70.677499999999995</v>
      </c>
      <c r="W33">
        <v>100.77749999999999</v>
      </c>
      <c r="X33">
        <v>82.468333333333334</v>
      </c>
      <c r="Y33">
        <v>80.526666666666657</v>
      </c>
      <c r="Z33">
        <v>69.103333333333339</v>
      </c>
      <c r="AA33">
        <v>90.857500000000002</v>
      </c>
      <c r="AB33">
        <v>74</v>
      </c>
    </row>
    <row r="34" spans="1:29" x14ac:dyDescent="0.75">
      <c r="A34" s="2">
        <v>39448</v>
      </c>
      <c r="G34" t="s">
        <v>7</v>
      </c>
      <c r="L34">
        <v>79.509833333333333</v>
      </c>
      <c r="M34">
        <v>111.26508333333334</v>
      </c>
      <c r="N34">
        <v>111.65058333333333</v>
      </c>
      <c r="O34">
        <v>108.63733333333333</v>
      </c>
      <c r="P34">
        <v>99.021166666666659</v>
      </c>
      <c r="Q34">
        <v>52.351666666666667</v>
      </c>
      <c r="R34">
        <v>43.54933333333333</v>
      </c>
      <c r="S34">
        <v>54.247583333333331</v>
      </c>
      <c r="T34">
        <v>71.059416666666664</v>
      </c>
      <c r="U34">
        <v>64.358750000000001</v>
      </c>
      <c r="V34">
        <v>41.759166666666665</v>
      </c>
      <c r="W34">
        <v>70.677499999999995</v>
      </c>
      <c r="X34">
        <v>100.77749999999999</v>
      </c>
      <c r="Y34">
        <v>82.468333333333334</v>
      </c>
      <c r="Z34">
        <v>80.526666666666657</v>
      </c>
      <c r="AA34">
        <v>69.103333333333339</v>
      </c>
      <c r="AB34">
        <v>90.857500000000002</v>
      </c>
      <c r="AC34">
        <v>74</v>
      </c>
    </row>
    <row r="35" spans="1:29" x14ac:dyDescent="0.75">
      <c r="A35" s="2">
        <v>39814</v>
      </c>
      <c r="G35" t="s">
        <v>8</v>
      </c>
      <c r="L35">
        <v>0.3993877067616376</v>
      </c>
      <c r="M35">
        <v>3.4646987936466367E-3</v>
      </c>
      <c r="N35">
        <v>-2.6988215466854593E-2</v>
      </c>
      <c r="O35">
        <v>-8.851622523871483E-2</v>
      </c>
      <c r="P35">
        <v>-0.47130832296798497</v>
      </c>
      <c r="Q35">
        <v>-0.16813855018942414</v>
      </c>
      <c r="R35">
        <v>0.24565818076051693</v>
      </c>
      <c r="S35">
        <v>0.30990935080057325</v>
      </c>
      <c r="T35">
        <v>-9.429667426203181E-2</v>
      </c>
      <c r="U35">
        <v>-0.35115012851140415</v>
      </c>
      <c r="V35">
        <v>0.69250264413003126</v>
      </c>
      <c r="W35">
        <v>0.42587810830886763</v>
      </c>
      <c r="X35">
        <v>-0.18167911157417738</v>
      </c>
      <c r="Y35">
        <v>-2.3544390776257695E-2</v>
      </c>
      <c r="Z35">
        <v>-0.14185776968292063</v>
      </c>
      <c r="AA35">
        <v>0.31480632868650815</v>
      </c>
      <c r="AB35">
        <v>-0.18553779269735582</v>
      </c>
    </row>
    <row r="36" spans="1:29" x14ac:dyDescent="0.75">
      <c r="A36" s="2">
        <v>40179</v>
      </c>
      <c r="B36">
        <v>79.509833333333333</v>
      </c>
      <c r="G36" t="s">
        <v>9</v>
      </c>
      <c r="O36">
        <v>102.0168</v>
      </c>
      <c r="P36">
        <v>96.585166666666666</v>
      </c>
      <c r="Q36">
        <v>83.042016666666669</v>
      </c>
      <c r="R36">
        <v>71.561416666666673</v>
      </c>
      <c r="S36">
        <v>64.04583333333332</v>
      </c>
      <c r="T36">
        <v>57.113350000000004</v>
      </c>
      <c r="U36">
        <v>54.99485</v>
      </c>
      <c r="V36">
        <v>60.420483333333337</v>
      </c>
      <c r="W36">
        <v>69.726466666666653</v>
      </c>
      <c r="X36">
        <v>72.008250000000004</v>
      </c>
      <c r="Y36">
        <v>75.241833333333332</v>
      </c>
      <c r="Z36">
        <v>80.710666666666668</v>
      </c>
      <c r="AA36">
        <v>84.74666666666667</v>
      </c>
      <c r="AB36">
        <v>79.391166666666678</v>
      </c>
    </row>
    <row r="37" spans="1:29" x14ac:dyDescent="0.75">
      <c r="A37" s="2">
        <v>40544</v>
      </c>
      <c r="B37">
        <v>111.26508333333334</v>
      </c>
      <c r="C37">
        <v>79.509833333333333</v>
      </c>
      <c r="D37">
        <v>0.3993877067616376</v>
      </c>
    </row>
    <row r="38" spans="1:29" x14ac:dyDescent="0.75">
      <c r="A38" s="2">
        <v>40909</v>
      </c>
      <c r="B38">
        <v>111.65058333333333</v>
      </c>
      <c r="C38">
        <v>111.26508333333334</v>
      </c>
      <c r="D38">
        <v>3.4646987936466367E-3</v>
      </c>
    </row>
    <row r="39" spans="1:29" x14ac:dyDescent="0.75">
      <c r="A39" s="2">
        <v>41275</v>
      </c>
      <c r="B39">
        <v>108.63733333333333</v>
      </c>
      <c r="C39">
        <v>111.65058333333333</v>
      </c>
      <c r="D39">
        <v>-2.6988215466854593E-2</v>
      </c>
    </row>
    <row r="40" spans="1:29" x14ac:dyDescent="0.75">
      <c r="A40" s="2">
        <v>41640</v>
      </c>
      <c r="B40">
        <v>99.021166666666659</v>
      </c>
      <c r="C40">
        <v>108.63733333333333</v>
      </c>
      <c r="D40">
        <v>-8.851622523871483E-2</v>
      </c>
      <c r="E40">
        <v>102.0168</v>
      </c>
    </row>
    <row r="41" spans="1:29" x14ac:dyDescent="0.75">
      <c r="A41" s="2">
        <v>42005</v>
      </c>
      <c r="B41">
        <v>52.351666666666667</v>
      </c>
      <c r="C41">
        <v>99.021166666666659</v>
      </c>
      <c r="D41">
        <v>-0.47130832296798497</v>
      </c>
      <c r="E41">
        <v>96.585166666666666</v>
      </c>
    </row>
    <row r="42" spans="1:29" x14ac:dyDescent="0.75">
      <c r="A42" s="2">
        <v>42370</v>
      </c>
      <c r="B42">
        <v>43.54933333333333</v>
      </c>
      <c r="C42">
        <v>52.351666666666667</v>
      </c>
      <c r="D42">
        <v>-0.16813855018942414</v>
      </c>
      <c r="E42">
        <v>83.042016666666669</v>
      </c>
    </row>
    <row r="43" spans="1:29" x14ac:dyDescent="0.75">
      <c r="A43" s="2">
        <v>42736</v>
      </c>
      <c r="B43">
        <v>54.247583333333331</v>
      </c>
      <c r="C43">
        <v>43.54933333333333</v>
      </c>
      <c r="D43">
        <v>0.24565818076051693</v>
      </c>
      <c r="E43">
        <v>71.561416666666673</v>
      </c>
    </row>
    <row r="44" spans="1:29" x14ac:dyDescent="0.75">
      <c r="A44" s="2">
        <v>43101</v>
      </c>
      <c r="B44">
        <v>71.059416666666664</v>
      </c>
      <c r="C44">
        <v>54.247583333333331</v>
      </c>
      <c r="D44">
        <v>0.30990935080057325</v>
      </c>
      <c r="E44">
        <v>64.04583333333332</v>
      </c>
    </row>
    <row r="45" spans="1:29" x14ac:dyDescent="0.75">
      <c r="A45" s="2">
        <v>43466</v>
      </c>
      <c r="B45">
        <v>64.358750000000001</v>
      </c>
      <c r="C45">
        <v>71.059416666666664</v>
      </c>
      <c r="D45">
        <v>-9.429667426203181E-2</v>
      </c>
      <c r="E45">
        <v>57.113350000000004</v>
      </c>
    </row>
    <row r="46" spans="1:29" x14ac:dyDescent="0.75">
      <c r="A46" s="2">
        <v>43831</v>
      </c>
      <c r="B46">
        <v>41.759166666666665</v>
      </c>
      <c r="C46">
        <v>64.358750000000001</v>
      </c>
      <c r="D46">
        <v>-0.35115012851140415</v>
      </c>
      <c r="E46">
        <v>54.99485</v>
      </c>
    </row>
    <row r="47" spans="1:29" x14ac:dyDescent="0.75">
      <c r="A47" s="2">
        <v>44197</v>
      </c>
      <c r="B47">
        <v>70.677499999999995</v>
      </c>
      <c r="C47">
        <v>41.759166666666665</v>
      </c>
      <c r="D47">
        <v>0.69250264413003126</v>
      </c>
      <c r="E47">
        <v>60.420483333333337</v>
      </c>
    </row>
    <row r="48" spans="1:29" x14ac:dyDescent="0.75">
      <c r="A48" s="2">
        <v>44562</v>
      </c>
      <c r="B48">
        <v>100.77749999999999</v>
      </c>
      <c r="C48">
        <v>70.677499999999995</v>
      </c>
      <c r="D48">
        <v>0.42587810830886763</v>
      </c>
      <c r="E48">
        <v>69.726466666666653</v>
      </c>
    </row>
    <row r="49" spans="1:5" x14ac:dyDescent="0.75">
      <c r="A49" s="2">
        <v>44927</v>
      </c>
      <c r="B49">
        <v>82.468333333333334</v>
      </c>
      <c r="C49">
        <v>100.77749999999999</v>
      </c>
      <c r="D49">
        <v>-0.18167911157417738</v>
      </c>
      <c r="E49">
        <v>72.008250000000004</v>
      </c>
    </row>
    <row r="50" spans="1:5" x14ac:dyDescent="0.75">
      <c r="A50" s="2">
        <v>45292</v>
      </c>
      <c r="B50">
        <v>80.526666666666657</v>
      </c>
      <c r="C50">
        <v>82.468333333333334</v>
      </c>
      <c r="D50">
        <v>-2.3544390776257695E-2</v>
      </c>
      <c r="E50">
        <v>75.241833333333332</v>
      </c>
    </row>
    <row r="51" spans="1:5" x14ac:dyDescent="0.75">
      <c r="A51" s="2">
        <v>45658</v>
      </c>
      <c r="B51">
        <v>69.103333333333339</v>
      </c>
      <c r="C51">
        <v>80.526666666666657</v>
      </c>
      <c r="D51">
        <v>-0.14185776968292063</v>
      </c>
      <c r="E51">
        <v>80.710666666666668</v>
      </c>
    </row>
    <row r="52" spans="1:5" x14ac:dyDescent="0.75">
      <c r="A52" s="2">
        <v>46023</v>
      </c>
      <c r="B52">
        <v>90.857500000000002</v>
      </c>
      <c r="C52">
        <v>69.103333333333339</v>
      </c>
      <c r="D52">
        <v>0.31480632868650815</v>
      </c>
      <c r="E52">
        <v>84.74666666666667</v>
      </c>
    </row>
    <row r="53" spans="1:5" x14ac:dyDescent="0.75">
      <c r="A53" s="2">
        <v>46388</v>
      </c>
      <c r="B53">
        <v>74</v>
      </c>
      <c r="C53">
        <v>90.857500000000002</v>
      </c>
      <c r="D53">
        <v>-0.18553779269735582</v>
      </c>
      <c r="E53">
        <v>79.391166666666678</v>
      </c>
    </row>
    <row r="54" spans="1:5" x14ac:dyDescent="0.75">
      <c r="A54" s="2">
        <v>46753</v>
      </c>
      <c r="C54">
        <v>74</v>
      </c>
    </row>
    <row r="55" spans="1:5" x14ac:dyDescent="0.75">
      <c r="A55" s="2">
        <v>47119</v>
      </c>
    </row>
    <row r="56" spans="1:5" x14ac:dyDescent="0.75">
      <c r="A56" s="2">
        <v>47484</v>
      </c>
    </row>
    <row r="57" spans="1:5" x14ac:dyDescent="0.75">
      <c r="A57" s="2">
        <v>47849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 LIRON</dc:creator>
  <cp:lastModifiedBy>Didier LIRON</cp:lastModifiedBy>
  <dcterms:created xsi:type="dcterms:W3CDTF">2026-10-02T08:25:04Z</dcterms:created>
  <dcterms:modified xsi:type="dcterms:W3CDTF">2026-10-02T08:39:08Z</dcterms:modified>
</cp:coreProperties>
</file>